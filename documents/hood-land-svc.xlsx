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bistis/dev/SailWatchPro-Public/documents/"/>
    </mc:Choice>
  </mc:AlternateContent>
  <xr:revisionPtr revIDLastSave="0" documentId="13_ncr:1_{A646626B-E91A-1444-A842-AB289AF81E39}" xr6:coauthVersionLast="47" xr6:coauthVersionMax="47" xr10:uidLastSave="{00000000-0000-0000-0000-000000000000}"/>
  <bookViews>
    <workbookView xWindow="32620" yWindow="540" windowWidth="27640" windowHeight="32000" activeTab="1" xr2:uid="{344AF9C5-1D42-7F4B-B047-5C543E3E466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2" l="1"/>
  <c r="G54" i="2"/>
  <c r="G51" i="2"/>
  <c r="G49" i="2"/>
  <c r="G48" i="2"/>
  <c r="G46" i="2"/>
  <c r="G45" i="2"/>
  <c r="G44" i="2"/>
  <c r="G43" i="2"/>
  <c r="G41" i="2"/>
  <c r="G40" i="2"/>
  <c r="G39" i="2"/>
  <c r="G38" i="2"/>
  <c r="G36" i="2"/>
  <c r="G35" i="2"/>
  <c r="G34" i="2"/>
  <c r="G33" i="2"/>
  <c r="G31" i="2"/>
  <c r="G30" i="2"/>
  <c r="G29" i="2"/>
  <c r="G27" i="2"/>
  <c r="G26" i="2"/>
  <c r="G25" i="2"/>
  <c r="G24" i="2"/>
  <c r="G23" i="2"/>
  <c r="G21" i="2"/>
  <c r="G20" i="2"/>
  <c r="G18" i="2"/>
  <c r="G17" i="2"/>
  <c r="G15" i="2"/>
  <c r="G14" i="2"/>
  <c r="G12" i="2"/>
  <c r="G11" i="2"/>
  <c r="G9" i="2"/>
  <c r="G8" i="2"/>
  <c r="G6" i="2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8" i="1"/>
</calcChain>
</file>

<file path=xl/sharedStrings.xml><?xml version="1.0" encoding="utf-8"?>
<sst xmlns="http://schemas.openxmlformats.org/spreadsheetml/2006/main" count="86" uniqueCount="37">
  <si>
    <t>Monthly</t>
  </si>
  <si>
    <t>Invoice Date</t>
  </si>
  <si>
    <t>October</t>
  </si>
  <si>
    <t>September - Invoice #7575</t>
  </si>
  <si>
    <t>Invoice</t>
  </si>
  <si>
    <t>Line</t>
  </si>
  <si>
    <t>Revenue</t>
  </si>
  <si>
    <t>N</t>
  </si>
  <si>
    <t>Y</t>
  </si>
  <si>
    <t>Description</t>
  </si>
  <si>
    <t>August</t>
  </si>
  <si>
    <t>August - Invoice #7506</t>
  </si>
  <si>
    <t>September</t>
  </si>
  <si>
    <t>November</t>
  </si>
  <si>
    <t>Labor Hurricane clean-up</t>
  </si>
  <si>
    <t>February</t>
  </si>
  <si>
    <t>100' Black flex drain pipe</t>
  </si>
  <si>
    <t>6 yards - Field dirt</t>
  </si>
  <si>
    <t>Labor - Installed dirt</t>
  </si>
  <si>
    <t>Labor - Installed drian pipe, cap off sprinklers</t>
  </si>
  <si>
    <t>February - Invoice #7884</t>
  </si>
  <si>
    <t>March</t>
  </si>
  <si>
    <t>April</t>
  </si>
  <si>
    <t>May</t>
  </si>
  <si>
    <t>June</t>
  </si>
  <si>
    <t>December</t>
  </si>
  <si>
    <t>January</t>
  </si>
  <si>
    <t>July - Invoice #8164</t>
  </si>
  <si>
    <t>Irrigation</t>
  </si>
  <si>
    <t>Labor</t>
  </si>
  <si>
    <t>November - Invoice #8289</t>
  </si>
  <si>
    <t>August - Invoice #9000</t>
  </si>
  <si>
    <t>July</t>
  </si>
  <si>
    <t>June - Invoice #8103</t>
  </si>
  <si>
    <t>October - invoice #8165</t>
  </si>
  <si>
    <t>September - Invoice #8228</t>
  </si>
  <si>
    <t>isRevenue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</si>
</sst>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C1DC-A75F-CE47-8455-F59F4367C15A}">
  <dimension ref="A6:C29"/>
  <sheetViews>
    <sheetView workbookViewId="0">
      <selection activeCell="D12" sqref="D12"/>
    </sheetView>
  </sheetViews>
  <sheetFormatPr baseColWidth="10" defaultRowHeight="16" x14ac:dyDescent="0.2"/>
  <sheetData>
    <row r="6" spans="1:3" x14ac:dyDescent="0.2">
      <c r="B6" s="3" t="s">
        <v>0</v>
      </c>
      <c r="C6" t="s">
        <v>1</v>
      </c>
    </row>
    <row r="7" spans="1:3" x14ac:dyDescent="0.2">
      <c r="A7" s="1">
        <v>45505</v>
      </c>
      <c r="B7" s="2">
        <v>675</v>
      </c>
    </row>
    <row r="8" spans="1:3" x14ac:dyDescent="0.2">
      <c r="A8" s="1">
        <f>A7+31</f>
        <v>45536</v>
      </c>
      <c r="B8" s="2">
        <v>675</v>
      </c>
    </row>
    <row r="9" spans="1:3" x14ac:dyDescent="0.2">
      <c r="A9" s="1">
        <f t="shared" ref="A9:A29" si="0">A8+31</f>
        <v>45567</v>
      </c>
      <c r="B9" s="2">
        <v>675</v>
      </c>
    </row>
    <row r="10" spans="1:3" x14ac:dyDescent="0.2">
      <c r="A10" s="1">
        <f t="shared" si="0"/>
        <v>45598</v>
      </c>
      <c r="B10" s="2">
        <v>675</v>
      </c>
    </row>
    <row r="11" spans="1:3" x14ac:dyDescent="0.2">
      <c r="A11" s="1">
        <f t="shared" si="0"/>
        <v>45629</v>
      </c>
      <c r="B11" s="2">
        <v>675</v>
      </c>
      <c r="C11" s="4">
        <v>45642</v>
      </c>
    </row>
    <row r="12" spans="1:3" x14ac:dyDescent="0.2">
      <c r="A12" s="1">
        <f t="shared" si="0"/>
        <v>45660</v>
      </c>
      <c r="B12" s="2">
        <v>675</v>
      </c>
    </row>
    <row r="13" spans="1:3" x14ac:dyDescent="0.2">
      <c r="A13" s="1">
        <f t="shared" si="0"/>
        <v>45691</v>
      </c>
      <c r="B13" s="2">
        <v>675</v>
      </c>
    </row>
    <row r="14" spans="1:3" x14ac:dyDescent="0.2">
      <c r="A14" s="1">
        <f t="shared" si="0"/>
        <v>45722</v>
      </c>
      <c r="B14" s="2">
        <v>675</v>
      </c>
    </row>
    <row r="15" spans="1:3" x14ac:dyDescent="0.2">
      <c r="A15" s="1">
        <f t="shared" si="0"/>
        <v>45753</v>
      </c>
      <c r="B15" s="2">
        <v>675</v>
      </c>
    </row>
    <row r="16" spans="1:3" x14ac:dyDescent="0.2">
      <c r="A16" s="1">
        <f t="shared" si="0"/>
        <v>45784</v>
      </c>
      <c r="B16" s="2">
        <v>675</v>
      </c>
    </row>
    <row r="17" spans="1:2" x14ac:dyDescent="0.2">
      <c r="A17" s="1">
        <f t="shared" si="0"/>
        <v>45815</v>
      </c>
      <c r="B17" s="2">
        <v>675</v>
      </c>
    </row>
    <row r="18" spans="1:2" x14ac:dyDescent="0.2">
      <c r="A18" s="1">
        <f t="shared" si="0"/>
        <v>45846</v>
      </c>
      <c r="B18" s="2">
        <v>675</v>
      </c>
    </row>
    <row r="19" spans="1:2" x14ac:dyDescent="0.2">
      <c r="A19" s="1">
        <f t="shared" si="0"/>
        <v>45877</v>
      </c>
      <c r="B19" s="2">
        <v>675</v>
      </c>
    </row>
    <row r="20" spans="1:2" x14ac:dyDescent="0.2">
      <c r="A20" s="1">
        <f t="shared" si="0"/>
        <v>45908</v>
      </c>
      <c r="B20" s="2">
        <v>675</v>
      </c>
    </row>
    <row r="21" spans="1:2" x14ac:dyDescent="0.2">
      <c r="A21" s="1">
        <f t="shared" si="0"/>
        <v>45939</v>
      </c>
      <c r="B21" s="2">
        <v>675</v>
      </c>
    </row>
    <row r="22" spans="1:2" x14ac:dyDescent="0.2">
      <c r="A22" s="1">
        <f t="shared" si="0"/>
        <v>45970</v>
      </c>
      <c r="B22" s="2">
        <v>675</v>
      </c>
    </row>
    <row r="23" spans="1:2" x14ac:dyDescent="0.2">
      <c r="A23" s="1">
        <f t="shared" si="0"/>
        <v>46001</v>
      </c>
      <c r="B23" s="2">
        <v>675</v>
      </c>
    </row>
    <row r="24" spans="1:2" x14ac:dyDescent="0.2">
      <c r="A24" s="1">
        <f t="shared" si="0"/>
        <v>46032</v>
      </c>
      <c r="B24" s="2">
        <v>675</v>
      </c>
    </row>
    <row r="25" spans="1:2" x14ac:dyDescent="0.2">
      <c r="A25" s="1">
        <f t="shared" si="0"/>
        <v>46063</v>
      </c>
      <c r="B25" s="2">
        <v>675</v>
      </c>
    </row>
    <row r="26" spans="1:2" x14ac:dyDescent="0.2">
      <c r="A26" s="1"/>
    </row>
    <row r="27" spans="1:2" x14ac:dyDescent="0.2">
      <c r="A27" s="1"/>
    </row>
    <row r="28" spans="1:2" x14ac:dyDescent="0.2">
      <c r="A28" s="1"/>
    </row>
    <row r="29" spans="1:2" x14ac:dyDescent="0.2">
      <c r="A29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93A2-D707-7C41-BFE1-BBDD589FF770}">
  <dimension ref="A5:G63"/>
  <sheetViews>
    <sheetView tabSelected="1" workbookViewId="0">
      <selection activeCell="I6" sqref="I6"/>
    </sheetView>
  </sheetViews>
  <sheetFormatPr baseColWidth="10" defaultRowHeight="16" x14ac:dyDescent="0.2"/>
  <cols>
    <col min="3" max="3" width="38.83203125" bestFit="1" customWidth="1"/>
  </cols>
  <sheetData>
    <row r="5" spans="1:7" x14ac:dyDescent="0.2">
      <c r="A5" s="3" t="s">
        <v>4</v>
      </c>
      <c r="B5" s="3" t="s">
        <v>5</v>
      </c>
      <c r="C5" s="3" t="s">
        <v>9</v>
      </c>
      <c r="D5" s="3"/>
      <c r="E5" s="3" t="s">
        <v>1</v>
      </c>
      <c r="F5" s="3" t="s">
        <v>36</v>
      </c>
      <c r="G5" s="3" t="s">
        <v>6</v>
      </c>
    </row>
    <row r="6" spans="1:7" x14ac:dyDescent="0.2">
      <c r="A6">
        <v>7506</v>
      </c>
      <c r="B6">
        <v>1</v>
      </c>
      <c r="C6" s="5" t="s">
        <v>10</v>
      </c>
      <c r="D6" s="6">
        <v>675</v>
      </c>
      <c r="E6" s="7">
        <v>45520</v>
      </c>
      <c r="F6" s="3" t="s">
        <v>8</v>
      </c>
      <c r="G6" s="6">
        <f>IF(F6="Y",D6,0)</f>
        <v>675</v>
      </c>
    </row>
    <row r="7" spans="1:7" x14ac:dyDescent="0.2">
      <c r="A7" s="3"/>
      <c r="B7" s="3"/>
      <c r="C7" s="3"/>
      <c r="D7" s="3"/>
      <c r="E7" s="3"/>
      <c r="F7" s="3"/>
    </row>
    <row r="8" spans="1:7" x14ac:dyDescent="0.2">
      <c r="A8">
        <v>7575</v>
      </c>
      <c r="B8" s="5">
        <v>1</v>
      </c>
      <c r="C8" s="5" t="s">
        <v>11</v>
      </c>
      <c r="D8" s="6">
        <v>675</v>
      </c>
      <c r="E8" s="7">
        <v>45550</v>
      </c>
      <c r="F8" s="3" t="s">
        <v>7</v>
      </c>
      <c r="G8" s="6">
        <f>IF(F8="Y",D8,0)</f>
        <v>0</v>
      </c>
    </row>
    <row r="9" spans="1:7" x14ac:dyDescent="0.2">
      <c r="A9">
        <v>7575</v>
      </c>
      <c r="B9" s="5">
        <v>2</v>
      </c>
      <c r="C9" s="5" t="s">
        <v>12</v>
      </c>
      <c r="D9" s="6">
        <v>675</v>
      </c>
      <c r="E9" s="7">
        <v>45550</v>
      </c>
      <c r="F9" s="3" t="s">
        <v>8</v>
      </c>
      <c r="G9" s="6">
        <f>IF(F9="Y",D9,0)</f>
        <v>675</v>
      </c>
    </row>
    <row r="10" spans="1:7" x14ac:dyDescent="0.2">
      <c r="A10" s="3"/>
      <c r="B10" s="3"/>
      <c r="C10" s="3"/>
      <c r="D10" s="3"/>
      <c r="E10" s="3"/>
      <c r="F10" s="3"/>
    </row>
    <row r="11" spans="1:7" x14ac:dyDescent="0.2">
      <c r="A11" s="5">
        <v>7654</v>
      </c>
      <c r="B11" s="5">
        <v>1</v>
      </c>
      <c r="C11" s="5" t="s">
        <v>3</v>
      </c>
      <c r="D11" s="6">
        <v>1350</v>
      </c>
      <c r="E11" s="7">
        <v>45584</v>
      </c>
      <c r="F11" s="3" t="s">
        <v>7</v>
      </c>
      <c r="G11" s="6">
        <f>IF(F11="Y",D11,0)</f>
        <v>0</v>
      </c>
    </row>
    <row r="12" spans="1:7" x14ac:dyDescent="0.2">
      <c r="A12" s="5">
        <v>7654</v>
      </c>
      <c r="B12" s="5">
        <v>2</v>
      </c>
      <c r="C12" s="5" t="s">
        <v>2</v>
      </c>
      <c r="D12" s="6">
        <v>675</v>
      </c>
      <c r="E12" s="7">
        <v>45584</v>
      </c>
      <c r="F12" s="3" t="s">
        <v>8</v>
      </c>
      <c r="G12" s="6">
        <f>IF(F12="Y",D12,0)</f>
        <v>675</v>
      </c>
    </row>
    <row r="14" spans="1:7" x14ac:dyDescent="0.2">
      <c r="A14">
        <v>7703</v>
      </c>
      <c r="B14">
        <v>1</v>
      </c>
      <c r="C14" s="5" t="s">
        <v>13</v>
      </c>
      <c r="D14" s="6">
        <v>675</v>
      </c>
      <c r="E14" s="7">
        <v>45612</v>
      </c>
      <c r="F14" s="3" t="s">
        <v>8</v>
      </c>
      <c r="G14" s="6">
        <f>IF(F14="Y",D14,0)</f>
        <v>675</v>
      </c>
    </row>
    <row r="15" spans="1:7" x14ac:dyDescent="0.2">
      <c r="A15">
        <v>7703</v>
      </c>
      <c r="B15" s="5">
        <v>2</v>
      </c>
      <c r="C15" s="5" t="s">
        <v>14</v>
      </c>
      <c r="D15" s="6">
        <v>150</v>
      </c>
      <c r="E15" s="7">
        <v>45612</v>
      </c>
      <c r="F15" s="3" t="s">
        <v>8</v>
      </c>
      <c r="G15" s="6">
        <f>IF(F15="Y",D15,0)</f>
        <v>150</v>
      </c>
    </row>
    <row r="17" spans="1:7" x14ac:dyDescent="0.2">
      <c r="A17">
        <v>7768</v>
      </c>
      <c r="B17">
        <v>1</v>
      </c>
      <c r="C17" s="5" t="s">
        <v>2</v>
      </c>
      <c r="D17" s="6">
        <v>825</v>
      </c>
      <c r="E17" s="4">
        <v>45642</v>
      </c>
      <c r="F17" s="3" t="s">
        <v>7</v>
      </c>
      <c r="G17" s="6">
        <f>IF(F17="Y",D17,0)</f>
        <v>0</v>
      </c>
    </row>
    <row r="18" spans="1:7" x14ac:dyDescent="0.2">
      <c r="A18">
        <v>7768</v>
      </c>
      <c r="B18">
        <v>2</v>
      </c>
      <c r="C18" s="5" t="s">
        <v>13</v>
      </c>
      <c r="D18" s="6">
        <v>675</v>
      </c>
      <c r="E18" s="4">
        <v>45642</v>
      </c>
      <c r="F18" s="3" t="s">
        <v>7</v>
      </c>
      <c r="G18" s="6">
        <f>IF(F18="Y",D18,0)</f>
        <v>0</v>
      </c>
    </row>
    <row r="19" spans="1:7" x14ac:dyDescent="0.2">
      <c r="C19" s="5"/>
      <c r="D19" s="6"/>
      <c r="E19" s="4"/>
      <c r="F19" s="3"/>
    </row>
    <row r="20" spans="1:7" x14ac:dyDescent="0.2">
      <c r="A20">
        <v>7825</v>
      </c>
      <c r="B20">
        <v>1</v>
      </c>
      <c r="C20" s="5" t="s">
        <v>25</v>
      </c>
      <c r="D20" s="6">
        <v>675</v>
      </c>
      <c r="E20" s="4">
        <v>45675</v>
      </c>
      <c r="F20" s="3" t="s">
        <v>8</v>
      </c>
      <c r="G20" s="6">
        <f>IF(F20="Y",D20,0)</f>
        <v>675</v>
      </c>
    </row>
    <row r="21" spans="1:7" x14ac:dyDescent="0.2">
      <c r="A21">
        <v>7825</v>
      </c>
      <c r="B21">
        <v>2</v>
      </c>
      <c r="C21" s="5" t="s">
        <v>26</v>
      </c>
      <c r="D21" s="6">
        <v>675</v>
      </c>
      <c r="E21" s="4">
        <v>45642</v>
      </c>
      <c r="F21" s="3" t="s">
        <v>8</v>
      </c>
      <c r="G21" s="6">
        <f>IF(F21="Y",D21,0)</f>
        <v>675</v>
      </c>
    </row>
    <row r="23" spans="1:7" x14ac:dyDescent="0.2">
      <c r="A23">
        <v>7884</v>
      </c>
      <c r="B23">
        <v>1</v>
      </c>
      <c r="C23" s="5" t="s">
        <v>15</v>
      </c>
      <c r="D23" s="6">
        <v>675</v>
      </c>
      <c r="E23" s="4">
        <v>45711</v>
      </c>
      <c r="F23" s="3" t="s">
        <v>8</v>
      </c>
      <c r="G23" s="6">
        <f t="shared" ref="G23:G51" si="0">IF(F23="Y",D23,0)</f>
        <v>675</v>
      </c>
    </row>
    <row r="24" spans="1:7" x14ac:dyDescent="0.2">
      <c r="A24">
        <v>7884</v>
      </c>
      <c r="B24">
        <v>2</v>
      </c>
      <c r="C24" s="5" t="s">
        <v>16</v>
      </c>
      <c r="D24" s="6">
        <v>230</v>
      </c>
      <c r="E24" s="4">
        <v>45711</v>
      </c>
      <c r="F24" s="3" t="s">
        <v>8</v>
      </c>
      <c r="G24" s="6">
        <f t="shared" si="0"/>
        <v>230</v>
      </c>
    </row>
    <row r="25" spans="1:7" x14ac:dyDescent="0.2">
      <c r="A25">
        <v>7884</v>
      </c>
      <c r="B25">
        <v>3</v>
      </c>
      <c r="C25" s="5" t="s">
        <v>17</v>
      </c>
      <c r="D25" s="6">
        <v>300</v>
      </c>
      <c r="E25" s="4">
        <v>45711</v>
      </c>
      <c r="F25" s="3" t="s">
        <v>8</v>
      </c>
      <c r="G25" s="6">
        <f t="shared" si="0"/>
        <v>300</v>
      </c>
    </row>
    <row r="26" spans="1:7" x14ac:dyDescent="0.2">
      <c r="A26">
        <v>7884</v>
      </c>
      <c r="B26">
        <v>4</v>
      </c>
      <c r="C26" s="5" t="s">
        <v>18</v>
      </c>
      <c r="D26" s="6">
        <v>840</v>
      </c>
      <c r="E26" s="4">
        <v>45711</v>
      </c>
      <c r="F26" s="3" t="s">
        <v>8</v>
      </c>
      <c r="G26" s="6">
        <f t="shared" si="0"/>
        <v>840</v>
      </c>
    </row>
    <row r="27" spans="1:7" x14ac:dyDescent="0.2">
      <c r="A27">
        <v>7884</v>
      </c>
      <c r="B27">
        <v>5</v>
      </c>
      <c r="C27" s="5" t="s">
        <v>19</v>
      </c>
      <c r="D27" s="6">
        <v>350</v>
      </c>
      <c r="E27" s="4">
        <v>45711</v>
      </c>
      <c r="F27" s="3" t="s">
        <v>8</v>
      </c>
      <c r="G27" s="6">
        <f t="shared" si="0"/>
        <v>350</v>
      </c>
    </row>
    <row r="29" spans="1:7" x14ac:dyDescent="0.2">
      <c r="A29">
        <v>8008</v>
      </c>
      <c r="B29">
        <v>1</v>
      </c>
      <c r="C29" s="5" t="s">
        <v>20</v>
      </c>
      <c r="D29" s="6">
        <v>2712.1</v>
      </c>
      <c r="E29" s="4">
        <v>45781</v>
      </c>
      <c r="F29" s="3" t="s">
        <v>7</v>
      </c>
      <c r="G29" s="6">
        <f t="shared" si="0"/>
        <v>0</v>
      </c>
    </row>
    <row r="30" spans="1:7" x14ac:dyDescent="0.2">
      <c r="A30">
        <v>8008</v>
      </c>
      <c r="B30">
        <v>2</v>
      </c>
      <c r="C30" s="5" t="s">
        <v>21</v>
      </c>
      <c r="D30" s="6">
        <v>675</v>
      </c>
      <c r="E30" s="4">
        <v>45781</v>
      </c>
      <c r="F30" s="3" t="s">
        <v>8</v>
      </c>
      <c r="G30" s="6">
        <f t="shared" si="0"/>
        <v>675</v>
      </c>
    </row>
    <row r="31" spans="1:7" x14ac:dyDescent="0.2">
      <c r="A31">
        <v>8008</v>
      </c>
      <c r="B31">
        <v>3</v>
      </c>
      <c r="C31" s="5" t="s">
        <v>22</v>
      </c>
      <c r="D31" s="6">
        <v>675</v>
      </c>
      <c r="E31" s="4">
        <v>45781</v>
      </c>
      <c r="F31" s="3" t="s">
        <v>8</v>
      </c>
      <c r="G31" s="6">
        <f t="shared" si="0"/>
        <v>675</v>
      </c>
    </row>
    <row r="33" spans="1:7" x14ac:dyDescent="0.2">
      <c r="A33">
        <v>8103</v>
      </c>
      <c r="B33">
        <v>1</v>
      </c>
      <c r="C33" s="5" t="s">
        <v>21</v>
      </c>
      <c r="D33" s="6">
        <v>675</v>
      </c>
      <c r="E33" s="4">
        <v>45830</v>
      </c>
      <c r="F33" s="3" t="s">
        <v>7</v>
      </c>
      <c r="G33" s="6">
        <f t="shared" si="0"/>
        <v>0</v>
      </c>
    </row>
    <row r="34" spans="1:7" x14ac:dyDescent="0.2">
      <c r="A34">
        <v>8103</v>
      </c>
      <c r="B34">
        <v>2</v>
      </c>
      <c r="C34" s="5" t="s">
        <v>22</v>
      </c>
      <c r="D34" s="6">
        <v>675</v>
      </c>
      <c r="E34" s="4">
        <v>45830</v>
      </c>
      <c r="F34" s="3" t="s">
        <v>7</v>
      </c>
      <c r="G34" s="6">
        <f t="shared" si="0"/>
        <v>0</v>
      </c>
    </row>
    <row r="35" spans="1:7" x14ac:dyDescent="0.2">
      <c r="A35">
        <v>8103</v>
      </c>
      <c r="B35">
        <v>3</v>
      </c>
      <c r="C35" s="5" t="s">
        <v>23</v>
      </c>
      <c r="D35" s="6">
        <v>675</v>
      </c>
      <c r="E35" s="4">
        <v>45830</v>
      </c>
      <c r="F35" s="3" t="s">
        <v>8</v>
      </c>
      <c r="G35" s="6">
        <f t="shared" si="0"/>
        <v>675</v>
      </c>
    </row>
    <row r="36" spans="1:7" x14ac:dyDescent="0.2">
      <c r="A36">
        <v>8103</v>
      </c>
      <c r="B36">
        <v>4</v>
      </c>
      <c r="C36" s="5" t="s">
        <v>24</v>
      </c>
      <c r="D36" s="6">
        <v>675</v>
      </c>
      <c r="E36" s="4">
        <v>45830</v>
      </c>
      <c r="F36" s="3" t="s">
        <v>8</v>
      </c>
      <c r="G36" s="6">
        <f t="shared" si="0"/>
        <v>675</v>
      </c>
    </row>
    <row r="37" spans="1:7" x14ac:dyDescent="0.2">
      <c r="C37" s="5"/>
      <c r="D37" s="6"/>
      <c r="E37" s="4"/>
      <c r="F37" s="3"/>
    </row>
    <row r="38" spans="1:7" x14ac:dyDescent="0.2">
      <c r="A38">
        <v>8164</v>
      </c>
      <c r="B38">
        <v>1</v>
      </c>
      <c r="C38" s="5" t="s">
        <v>33</v>
      </c>
      <c r="D38" s="6">
        <v>2700</v>
      </c>
      <c r="E38" s="4">
        <v>45868</v>
      </c>
      <c r="F38" s="3" t="s">
        <v>7</v>
      </c>
      <c r="G38" s="6">
        <f t="shared" si="0"/>
        <v>0</v>
      </c>
    </row>
    <row r="39" spans="1:7" x14ac:dyDescent="0.2">
      <c r="A39">
        <v>8164</v>
      </c>
      <c r="B39">
        <v>2</v>
      </c>
      <c r="C39" s="5" t="s">
        <v>32</v>
      </c>
      <c r="D39" s="6">
        <v>675</v>
      </c>
      <c r="E39" s="4">
        <v>45868</v>
      </c>
      <c r="F39" s="3" t="s">
        <v>8</v>
      </c>
      <c r="G39" s="6">
        <f t="shared" si="0"/>
        <v>675</v>
      </c>
    </row>
    <row r="40" spans="1:7" x14ac:dyDescent="0.2">
      <c r="A40">
        <v>8164</v>
      </c>
      <c r="B40">
        <v>3</v>
      </c>
      <c r="C40" s="5" t="s">
        <v>28</v>
      </c>
      <c r="D40" s="6">
        <v>17.5</v>
      </c>
      <c r="E40" s="4">
        <v>45868</v>
      </c>
      <c r="F40" s="3" t="s">
        <v>8</v>
      </c>
      <c r="G40" s="6">
        <f t="shared" si="0"/>
        <v>17.5</v>
      </c>
    </row>
    <row r="41" spans="1:7" x14ac:dyDescent="0.2">
      <c r="A41">
        <v>8164</v>
      </c>
      <c r="B41">
        <v>4</v>
      </c>
      <c r="C41" s="5" t="s">
        <v>29</v>
      </c>
      <c r="D41" s="6">
        <v>90</v>
      </c>
      <c r="E41" s="4">
        <v>45868</v>
      </c>
      <c r="F41" s="3" t="s">
        <v>8</v>
      </c>
      <c r="G41" s="6">
        <f t="shared" si="0"/>
        <v>90</v>
      </c>
    </row>
    <row r="42" spans="1:7" x14ac:dyDescent="0.2">
      <c r="C42" s="5"/>
      <c r="D42" s="6"/>
      <c r="E42" s="4"/>
      <c r="F42" s="3"/>
    </row>
    <row r="43" spans="1:7" x14ac:dyDescent="0.2">
      <c r="A43">
        <v>9000</v>
      </c>
      <c r="B43">
        <v>1</v>
      </c>
      <c r="C43" s="5" t="s">
        <v>27</v>
      </c>
      <c r="D43" s="6">
        <v>3509.94</v>
      </c>
      <c r="E43" s="4">
        <v>45892</v>
      </c>
      <c r="F43" s="3" t="s">
        <v>7</v>
      </c>
      <c r="G43" s="6">
        <f t="shared" si="0"/>
        <v>0</v>
      </c>
    </row>
    <row r="44" spans="1:7" x14ac:dyDescent="0.2">
      <c r="A44">
        <v>9000</v>
      </c>
      <c r="B44">
        <v>2</v>
      </c>
      <c r="C44" s="5" t="s">
        <v>10</v>
      </c>
      <c r="D44" s="6">
        <v>675</v>
      </c>
      <c r="E44" s="4">
        <v>45892</v>
      </c>
      <c r="F44" s="3" t="s">
        <v>8</v>
      </c>
      <c r="G44" s="6">
        <f t="shared" si="0"/>
        <v>675</v>
      </c>
    </row>
    <row r="45" spans="1:7" x14ac:dyDescent="0.2">
      <c r="A45">
        <v>9000</v>
      </c>
      <c r="B45">
        <v>3</v>
      </c>
      <c r="C45" s="5" t="s">
        <v>28</v>
      </c>
      <c r="D45" s="6">
        <v>17.5</v>
      </c>
      <c r="E45" s="4">
        <v>45892</v>
      </c>
      <c r="F45" s="3" t="s">
        <v>8</v>
      </c>
      <c r="G45" s="6">
        <f t="shared" si="0"/>
        <v>17.5</v>
      </c>
    </row>
    <row r="46" spans="1:7" x14ac:dyDescent="0.2">
      <c r="A46">
        <v>9000</v>
      </c>
      <c r="B46">
        <v>4</v>
      </c>
      <c r="C46" s="5" t="s">
        <v>29</v>
      </c>
      <c r="D46" s="6">
        <v>90</v>
      </c>
      <c r="E46" s="4">
        <v>45892</v>
      </c>
      <c r="F46" s="3" t="s">
        <v>8</v>
      </c>
      <c r="G46" s="6">
        <f t="shared" si="0"/>
        <v>90</v>
      </c>
    </row>
    <row r="47" spans="1:7" x14ac:dyDescent="0.2">
      <c r="C47" s="5"/>
      <c r="D47" s="6"/>
      <c r="E47" s="4"/>
      <c r="F47" s="3"/>
    </row>
    <row r="48" spans="1:7" x14ac:dyDescent="0.2">
      <c r="A48">
        <v>8228</v>
      </c>
      <c r="B48">
        <v>1</v>
      </c>
      <c r="C48" s="5" t="s">
        <v>31</v>
      </c>
      <c r="D48" s="6">
        <v>4248.67</v>
      </c>
      <c r="E48" s="7">
        <v>45922</v>
      </c>
      <c r="F48" s="3" t="s">
        <v>7</v>
      </c>
      <c r="G48" s="6">
        <f t="shared" si="0"/>
        <v>0</v>
      </c>
    </row>
    <row r="49" spans="1:7" x14ac:dyDescent="0.2">
      <c r="A49">
        <v>8228</v>
      </c>
      <c r="B49">
        <v>2</v>
      </c>
      <c r="C49" s="5" t="s">
        <v>12</v>
      </c>
      <c r="D49" s="6">
        <v>675</v>
      </c>
      <c r="E49" s="7">
        <v>45922</v>
      </c>
      <c r="F49" s="3" t="s">
        <v>8</v>
      </c>
      <c r="G49" s="6">
        <f t="shared" si="0"/>
        <v>675</v>
      </c>
    </row>
    <row r="50" spans="1:7" x14ac:dyDescent="0.2">
      <c r="C50" s="5"/>
      <c r="D50" s="6"/>
      <c r="E50" s="7"/>
      <c r="F50" s="3"/>
    </row>
    <row r="51" spans="1:7" x14ac:dyDescent="0.2">
      <c r="A51">
        <v>8265</v>
      </c>
      <c r="B51">
        <v>1</v>
      </c>
      <c r="C51" s="5" t="s">
        <v>35</v>
      </c>
      <c r="D51" s="6">
        <v>5534.94</v>
      </c>
      <c r="E51" s="7">
        <v>45955</v>
      </c>
      <c r="F51" s="3" t="s">
        <v>7</v>
      </c>
      <c r="G51" s="6">
        <f t="shared" si="0"/>
        <v>0</v>
      </c>
    </row>
    <row r="52" spans="1:7" x14ac:dyDescent="0.2">
      <c r="A52">
        <v>8265</v>
      </c>
      <c r="B52">
        <v>2</v>
      </c>
      <c r="C52" s="5" t="s">
        <v>2</v>
      </c>
      <c r="D52" s="6">
        <v>675</v>
      </c>
      <c r="E52" s="7">
        <v>45955</v>
      </c>
      <c r="F52" s="3" t="s">
        <v>8</v>
      </c>
      <c r="G52" s="8">
        <v>675</v>
      </c>
    </row>
    <row r="53" spans="1:7" x14ac:dyDescent="0.2">
      <c r="C53" s="5"/>
      <c r="D53" s="6"/>
      <c r="E53" s="7"/>
      <c r="F53" s="3"/>
    </row>
    <row r="54" spans="1:7" x14ac:dyDescent="0.2">
      <c r="A54">
        <v>8289</v>
      </c>
      <c r="B54">
        <v>1</v>
      </c>
      <c r="C54" s="5" t="s">
        <v>34</v>
      </c>
      <c r="D54" s="6">
        <v>5534.94</v>
      </c>
      <c r="E54" s="7">
        <v>45955</v>
      </c>
      <c r="F54" s="3" t="s">
        <v>7</v>
      </c>
      <c r="G54" s="6">
        <f t="shared" ref="G54" si="1">IF(F54="Y",D54,0)</f>
        <v>0</v>
      </c>
    </row>
    <row r="55" spans="1:7" x14ac:dyDescent="0.2">
      <c r="A55">
        <v>8289</v>
      </c>
      <c r="B55">
        <v>2</v>
      </c>
      <c r="C55" s="5" t="s">
        <v>13</v>
      </c>
      <c r="D55" s="6">
        <v>675</v>
      </c>
      <c r="E55" s="7">
        <v>45955</v>
      </c>
      <c r="F55" s="3" t="s">
        <v>8</v>
      </c>
      <c r="G55" s="8">
        <v>675</v>
      </c>
    </row>
    <row r="56" spans="1:7" x14ac:dyDescent="0.2">
      <c r="C56" s="5"/>
      <c r="D56" s="6"/>
      <c r="E56" s="4"/>
      <c r="F56" s="3"/>
    </row>
    <row r="57" spans="1:7" x14ac:dyDescent="0.2">
      <c r="A57">
        <v>8429</v>
      </c>
      <c r="B57">
        <v>1</v>
      </c>
      <c r="C57" s="5" t="s">
        <v>30</v>
      </c>
      <c r="D57" s="6">
        <v>6209.94</v>
      </c>
      <c r="E57" s="4">
        <v>46020</v>
      </c>
      <c r="F57" s="3" t="s">
        <v>7</v>
      </c>
      <c r="G57" s="8">
        <v>0</v>
      </c>
    </row>
    <row r="58" spans="1:7" x14ac:dyDescent="0.2">
      <c r="A58">
        <v>8429</v>
      </c>
      <c r="B58">
        <v>2</v>
      </c>
      <c r="C58" s="5" t="s">
        <v>25</v>
      </c>
      <c r="D58" s="6">
        <v>675</v>
      </c>
      <c r="E58" s="4">
        <v>46020</v>
      </c>
      <c r="F58" s="3" t="s">
        <v>8</v>
      </c>
      <c r="G58" s="8">
        <v>675</v>
      </c>
    </row>
    <row r="59" spans="1:7" x14ac:dyDescent="0.2">
      <c r="C59" s="5"/>
      <c r="D59" s="6"/>
      <c r="E59" s="4"/>
      <c r="F59" s="3"/>
    </row>
    <row r="60" spans="1:7" x14ac:dyDescent="0.2">
      <c r="C60" s="5"/>
      <c r="D60" s="6"/>
      <c r="E60" s="4"/>
      <c r="F60" s="3"/>
      <c r="G60" s="2">
        <f>SUM(G6:G58)</f>
        <v>13560</v>
      </c>
    </row>
    <row r="61" spans="1:7" x14ac:dyDescent="0.2">
      <c r="C61" s="5"/>
      <c r="D61" s="6"/>
      <c r="E61" s="4"/>
      <c r="F61" s="3"/>
    </row>
    <row r="62" spans="1:7" x14ac:dyDescent="0.2">
      <c r="C62" s="5"/>
      <c r="D62" s="6"/>
      <c r="E62" s="4"/>
      <c r="F62" s="3"/>
    </row>
    <row r="63" spans="1:7" x14ac:dyDescent="0.2">
      <c r="C63" s="5"/>
      <c r="D63" s="6"/>
      <c r="E63" s="4"/>
      <c r="F63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Bistis</dc:creator>
  <cp:lastModifiedBy>James Bistis</cp:lastModifiedBy>
  <dcterms:created xsi:type="dcterms:W3CDTF">2026-01-20T19:42:58Z</dcterms:created>
  <dcterms:modified xsi:type="dcterms:W3CDTF">2026-01-20T20:42:01Z</dcterms:modified>
</cp:coreProperties>
</file>